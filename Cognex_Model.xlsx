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ke\Downloads\"/>
    </mc:Choice>
  </mc:AlternateContent>
  <xr:revisionPtr revIDLastSave="0" documentId="13_ncr:1_{309112FD-8DAC-4600-9119-2A2E7A68ED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istorical" sheetId="1" r:id="rId1"/>
    <sheet name="Assumptions" sheetId="2" r:id="rId2"/>
    <sheet name="Foreca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F6" i="3" s="1"/>
  <c r="B5" i="3"/>
  <c r="F5" i="3" s="1"/>
  <c r="B4" i="3"/>
  <c r="F3" i="3"/>
  <c r="B3" i="3"/>
  <c r="E3" i="3" s="1"/>
  <c r="B2" i="3"/>
  <c r="F2" i="3" s="1"/>
  <c r="C4" i="3" l="1"/>
  <c r="D4" i="3" s="1"/>
  <c r="G4" i="3" s="1"/>
  <c r="H4" i="3" s="1"/>
  <c r="E4" i="3"/>
  <c r="F4" i="3"/>
  <c r="C5" i="3"/>
  <c r="D5" i="3"/>
  <c r="E5" i="3"/>
  <c r="C6" i="3"/>
  <c r="D6" i="3"/>
  <c r="E6" i="3"/>
  <c r="C3" i="3"/>
  <c r="D3" i="3"/>
  <c r="G3" i="3" s="1"/>
  <c r="H3" i="3" s="1"/>
  <c r="C2" i="3"/>
  <c r="D2" i="3"/>
  <c r="E2" i="3"/>
  <c r="G2" i="3" l="1"/>
  <c r="H2" i="3" s="1"/>
  <c r="G6" i="3"/>
  <c r="H6" i="3" s="1"/>
  <c r="G5" i="3"/>
  <c r="H5" i="3" s="1"/>
</calcChain>
</file>

<file path=xl/sharedStrings.xml><?xml version="1.0" encoding="utf-8"?>
<sst xmlns="http://schemas.openxmlformats.org/spreadsheetml/2006/main" count="22" uniqueCount="19">
  <si>
    <t>Year</t>
  </si>
  <si>
    <t>Revenue</t>
  </si>
  <si>
    <t>Net Income</t>
  </si>
  <si>
    <t>Variable</t>
  </si>
  <si>
    <t>Base</t>
  </si>
  <si>
    <t>Bull</t>
  </si>
  <si>
    <t>Bear</t>
  </si>
  <si>
    <t>Revenue Growth %</t>
  </si>
  <si>
    <t>COGS % of Revenue</t>
  </si>
  <si>
    <t>SG&amp;A % of Revenue</t>
  </si>
  <si>
    <t>R&amp;D % of Revenue</t>
  </si>
  <si>
    <t>Tax Rate</t>
  </si>
  <si>
    <t>COGS</t>
  </si>
  <si>
    <t>Gross Profit</t>
  </si>
  <si>
    <t>SG&amp;A</t>
  </si>
  <si>
    <t>R&amp;D</t>
  </si>
  <si>
    <t>EBIT</t>
  </si>
  <si>
    <t>Base Being Modeled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</si>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</sst>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2F517-831B-4EB3-96C7-6B83088CAA89}" name="Table1" displayName="Table1" ref="A1:C6" totalsRowShown="0">
  <autoFilter ref="A1:C6" xr:uid="{EAD2F517-831B-4EB3-96C7-6B83088CAA89}"/>
  <tableColumns count="3">
    <tableColumn id="1" xr3:uid="{6EA71997-240F-44B7-A540-C9B88B701EA9}" name="Year"/>
    <tableColumn id="2" xr3:uid="{175C8A32-00B5-4988-9E57-9EEB1A0D1D6C}" name="Revenue"/>
    <tableColumn id="3" xr3:uid="{1F82C86B-D6DF-4D98-80D0-25DBE5DB57B1}" name="Net Inco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1B41FF-F2F8-44F3-A2B1-6927CC93D6DC}" name="Table2" displayName="Table2" ref="A1:D6" totalsRowShown="0">
  <autoFilter ref="A1:D6" xr:uid="{BE1B41FF-F2F8-44F3-A2B1-6927CC93D6DC}"/>
  <tableColumns count="4">
    <tableColumn id="1" xr3:uid="{BAD53283-25C1-431F-8358-3F32AAD1C164}" name="Variable"/>
    <tableColumn id="2" xr3:uid="{41CC1CD0-683B-4433-9DEF-9340F79322E0}" name="Base"/>
    <tableColumn id="3" xr3:uid="{F8551C19-888B-42D5-A8BC-C60FD03983B3}" name="Bull"/>
    <tableColumn id="4" xr3:uid="{282F0AD4-5B86-4DB9-AD5B-53D649C2A456}" name="Bea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DCF3D3-0FF1-4763-A190-CF240412400E}" name="Table3" displayName="Table3" ref="A1:H6" totalsRowShown="0">
  <autoFilter ref="A1:H6" xr:uid="{A6DCF3D3-0FF1-4763-A190-CF240412400E}"/>
  <tableColumns count="8">
    <tableColumn id="1" xr3:uid="{E485D2E6-8FB6-443D-B696-8267109D066E}" name="Year"/>
    <tableColumn id="2" xr3:uid="{FD557FAB-2B9F-462A-84E6-B2C902044BEA}" name="Revenue"/>
    <tableColumn id="3" xr3:uid="{C63FED7A-9BAB-4234-8203-9845BD4099E4}" name="COGS"/>
    <tableColumn id="4" xr3:uid="{6A702C97-286F-4ABE-902E-5261AA819E7B}" name="Gross Profit">
      <calculatedColumnFormula>B2-C2</calculatedColumnFormula>
    </tableColumn>
    <tableColumn id="5" xr3:uid="{1D478F5F-44EB-4273-BB1E-47C2402F4E2A}" name="SG&amp;A"/>
    <tableColumn id="6" xr3:uid="{7DACDBA4-2074-4DE8-BEE4-AF079921DA57}" name="R&amp;D"/>
    <tableColumn id="7" xr3:uid="{ABC11C49-57F4-452B-AB63-6414D18A7B99}" name="EBIT">
      <calculatedColumnFormula>D2-E2-F2</calculatedColumnFormula>
    </tableColumn>
    <tableColumn id="8" xr3:uid="{CEA740E7-5A45-4406-AFF2-79F8A250B95F}" name="Net Inco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5" sqref="B5"/>
    </sheetView>
  </sheetViews>
  <sheetFormatPr defaultRowHeight="14.4" x14ac:dyDescent="0.3"/>
  <cols>
    <col min="2" max="2" width="10.21875" customWidth="1"/>
    <col min="3" max="3" width="12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2020</v>
      </c>
      <c r="B2">
        <v>811</v>
      </c>
      <c r="C2">
        <v>176.2</v>
      </c>
    </row>
    <row r="3" spans="1:3" x14ac:dyDescent="0.3">
      <c r="A3">
        <v>2021</v>
      </c>
      <c r="B3">
        <v>1037.0999999999999</v>
      </c>
      <c r="C3">
        <v>279.89999999999998</v>
      </c>
    </row>
    <row r="4" spans="1:3" x14ac:dyDescent="0.3">
      <c r="A4">
        <v>2022</v>
      </c>
      <c r="B4">
        <v>1006.1</v>
      </c>
      <c r="C4">
        <v>215.5</v>
      </c>
    </row>
    <row r="5" spans="1:3" x14ac:dyDescent="0.3">
      <c r="A5">
        <v>2023</v>
      </c>
      <c r="B5">
        <v>837.6</v>
      </c>
      <c r="C5">
        <v>113.2</v>
      </c>
    </row>
    <row r="6" spans="1:3" x14ac:dyDescent="0.3">
      <c r="A6">
        <v>2024</v>
      </c>
      <c r="B6">
        <v>914.5</v>
      </c>
      <c r="C6">
        <v>106.2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A9" sqref="A9"/>
    </sheetView>
  </sheetViews>
  <sheetFormatPr defaultRowHeight="14.4" x14ac:dyDescent="0.3"/>
  <cols>
    <col min="1" max="1" width="19.218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7</v>
      </c>
      <c r="B2">
        <v>0.1</v>
      </c>
      <c r="C2">
        <v>0.15</v>
      </c>
      <c r="D2">
        <v>0.05</v>
      </c>
    </row>
    <row r="3" spans="1:4" x14ac:dyDescent="0.3">
      <c r="A3" t="s">
        <v>8</v>
      </c>
      <c r="B3">
        <v>0.7</v>
      </c>
      <c r="C3">
        <v>0.65</v>
      </c>
      <c r="D3">
        <v>0.75</v>
      </c>
    </row>
    <row r="4" spans="1:4" x14ac:dyDescent="0.3">
      <c r="A4" t="s">
        <v>9</v>
      </c>
      <c r="B4">
        <v>0.15</v>
      </c>
      <c r="C4">
        <v>0.13</v>
      </c>
      <c r="D4">
        <v>0.17</v>
      </c>
    </row>
    <row r="5" spans="1:4" x14ac:dyDescent="0.3">
      <c r="A5" t="s">
        <v>10</v>
      </c>
      <c r="B5">
        <v>0.1</v>
      </c>
      <c r="C5">
        <v>0.09</v>
      </c>
      <c r="D5">
        <v>0.11</v>
      </c>
    </row>
    <row r="6" spans="1:4" x14ac:dyDescent="0.3">
      <c r="A6" t="s">
        <v>11</v>
      </c>
      <c r="B6">
        <v>0.21</v>
      </c>
      <c r="C6">
        <v>0.21</v>
      </c>
      <c r="D6">
        <v>0.21</v>
      </c>
    </row>
    <row r="8" spans="1:4" x14ac:dyDescent="0.3">
      <c r="A8" t="s">
        <v>18</v>
      </c>
    </row>
    <row r="9" spans="1:4" x14ac:dyDescent="0.3">
      <c r="A9" t="s">
        <v>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F2" sqref="F2"/>
    </sheetView>
  </sheetViews>
  <sheetFormatPr defaultRowHeight="14.4" x14ac:dyDescent="0.3"/>
  <cols>
    <col min="2" max="2" width="10.21875" customWidth="1"/>
    <col min="4" max="4" width="12.5546875" customWidth="1"/>
    <col min="8" max="8" width="12.6640625" customWidth="1"/>
  </cols>
  <sheetData>
    <row r="1" spans="1:8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2</v>
      </c>
    </row>
    <row r="2" spans="1:8" x14ac:dyDescent="0.3">
      <c r="A2">
        <v>2025</v>
      </c>
      <c r="B2">
        <f>Historical!B6*(1+Assumptions!B2)^1</f>
        <v>1005.95</v>
      </c>
      <c r="C2">
        <f>B2*Assumptions!B3</f>
        <v>704.16499999999996</v>
      </c>
      <c r="D2">
        <f>B2-C2</f>
        <v>301.78500000000008</v>
      </c>
      <c r="E2">
        <f>B2*Assumptions!B4</f>
        <v>150.89250000000001</v>
      </c>
      <c r="F2">
        <f>B2*Assumptions!B5</f>
        <v>100.59500000000001</v>
      </c>
      <c r="G2">
        <f>D2-E2-F2</f>
        <v>50.297500000000056</v>
      </c>
      <c r="H2">
        <f>G2*(1-Assumptions!B6)</f>
        <v>39.735025000000043</v>
      </c>
    </row>
    <row r="3" spans="1:8" x14ac:dyDescent="0.3">
      <c r="A3">
        <v>2026</v>
      </c>
      <c r="B3">
        <f>Historical!B6*(1+Assumptions!B2)^2</f>
        <v>1106.5450000000001</v>
      </c>
      <c r="C3">
        <f>B3*Assumptions!B3</f>
        <v>774.58150000000001</v>
      </c>
      <c r="D3">
        <f>B3-C3</f>
        <v>331.96350000000007</v>
      </c>
      <c r="E3">
        <f>B3*Assumptions!B4</f>
        <v>165.98175000000001</v>
      </c>
      <c r="F3">
        <f>B3*Assumptions!B5</f>
        <v>110.65450000000001</v>
      </c>
      <c r="G3">
        <f>D3-E3-F3</f>
        <v>55.327250000000049</v>
      </c>
      <c r="H3">
        <f>G3*(1-Assumptions!B6)</f>
        <v>43.708527500000038</v>
      </c>
    </row>
    <row r="4" spans="1:8" x14ac:dyDescent="0.3">
      <c r="A4">
        <v>2027</v>
      </c>
      <c r="B4">
        <f>Historical!B6*(1+Assumptions!B2)^3</f>
        <v>1217.1995000000004</v>
      </c>
      <c r="C4">
        <f>B4*Assumptions!B3</f>
        <v>852.03965000000028</v>
      </c>
      <c r="D4">
        <f>B4-C4</f>
        <v>365.15985000000012</v>
      </c>
      <c r="E4">
        <f>B4*Assumptions!B4</f>
        <v>182.57992500000006</v>
      </c>
      <c r="F4">
        <f>B4*Assumptions!B5</f>
        <v>121.71995000000004</v>
      </c>
      <c r="G4">
        <f>D4-E4-F4</f>
        <v>60.85997500000002</v>
      </c>
      <c r="H4">
        <f>G4*(1-Assumptions!B6)</f>
        <v>48.079380250000021</v>
      </c>
    </row>
    <row r="5" spans="1:8" x14ac:dyDescent="0.3">
      <c r="A5">
        <v>2028</v>
      </c>
      <c r="B5">
        <f>Historical!B6*(1+Assumptions!B2)^4</f>
        <v>1338.9194500000003</v>
      </c>
      <c r="C5">
        <f>B5*Assumptions!B3</f>
        <v>937.2436150000002</v>
      </c>
      <c r="D5">
        <f>B5-C5</f>
        <v>401.67583500000012</v>
      </c>
      <c r="E5">
        <f>B5*Assumptions!B4</f>
        <v>200.83791750000003</v>
      </c>
      <c r="F5">
        <f>B5*Assumptions!B5</f>
        <v>133.89194500000005</v>
      </c>
      <c r="G5">
        <f>D5-E5-F5</f>
        <v>66.945972500000039</v>
      </c>
      <c r="H5">
        <f>G5*(1-Assumptions!B6)</f>
        <v>52.887318275000034</v>
      </c>
    </row>
    <row r="6" spans="1:8" x14ac:dyDescent="0.3">
      <c r="A6">
        <v>2029</v>
      </c>
      <c r="B6">
        <f>Historical!B6*(1+Assumptions!B2)^5</f>
        <v>1472.8113950000004</v>
      </c>
      <c r="C6">
        <f>B6*Assumptions!B3</f>
        <v>1030.9679765000003</v>
      </c>
      <c r="D6">
        <f>B6-C6</f>
        <v>441.8434185000001</v>
      </c>
      <c r="E6">
        <f>B6*Assumptions!B4</f>
        <v>220.92170925000005</v>
      </c>
      <c r="F6">
        <f>B6*Assumptions!B5</f>
        <v>147.28113950000005</v>
      </c>
      <c r="G6">
        <f>D6-E6-F6</f>
        <v>73.640569749999997</v>
      </c>
      <c r="H6">
        <f>G6*(1-Assumptions!B6)</f>
        <v>58.1760501025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</vt:lpstr>
      <vt:lpstr>Assumptions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Sankeerth Patnam</cp:lastModifiedBy>
  <dcterms:created xsi:type="dcterms:W3CDTF">2025-11-26T20:41:34Z</dcterms:created>
  <dcterms:modified xsi:type="dcterms:W3CDTF">2025-11-26T20:53:03Z</dcterms:modified>
</cp:coreProperties>
</file>